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sentacao" sheetId="1" r:id="rId4"/>
    <sheet state="visible" name="vendas_loja_3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erro absoluto médio (MAE)
	-Maryllian de Albuquerque Vieira</t>
      </text>
    </comment>
    <comment authorId="0" ref="F2">
      <text>
        <t xml:space="preserve">previsões de vendas para Janeiro, Fevereiro e Março de 2022
	-Maryllian de Albuquerque Vieira</t>
      </text>
    </comment>
    <comment authorId="0" ref="E19">
      <text>
        <t xml:space="preserve">valor ajustado para as vendas em Junho de 2020
	-Maryllian de Albuquerque Vieira</t>
      </text>
    </comment>
    <comment authorId="0" ref="D25">
      <text>
        <t xml:space="preserve">índice sazonal para Dezembro 2020
	-Maryllian de Albuquerque Vieira</t>
      </text>
    </comment>
    <comment authorId="0" ref="D13">
      <text>
        <t xml:space="preserve">índice sazonal para Dezembro 2019
	-Maryllian de Albuquerque Vieira</t>
      </text>
    </comment>
    <comment authorId="0" ref="C5">
      <text>
        <t xml:space="preserve">média móvel centrada para Abril de 2019
	-Maryllian de Albuquerque Vieira</t>
      </text>
    </comment>
  </commentList>
</comments>
</file>

<file path=xl/sharedStrings.xml><?xml version="1.0" encoding="utf-8"?>
<sst xmlns="http://schemas.openxmlformats.org/spreadsheetml/2006/main" count="12" uniqueCount="12">
  <si>
    <t>Exercício Prático - Google Sheets</t>
  </si>
  <si>
    <t>Aluna: Maryllian de Albuquerque Vieira
Squad Hedy Lamar</t>
  </si>
  <si>
    <t>1. Importação dos Dados 
○ Importe os dados do arquivo vendas_loja.csv para o Google Sheets . 
2. Cálculo da Média Móvel Centrada 
○ Calcule a média móvel centrada de 3 meses para os dados de vendas. 
○ Crie uma nova coluna chamada "Média Móvel Centrada (3 meses)" e preencha com os valores calculados. 
○ Pergunta: Qual é a média móvel centrada para Abril de 2019? 
3. Cálculo do Índice Sazonal ○ Calcule o índice sazonal para cada mês. 
○ Crie uma nova coluna chamada "Índice Sazonal" e preencha com os valores calculados. 
○ Pergunta: Qual é o índice sazonal para Dezembro? 
4. Ajuste dos Dados para Remover a Sazonalidade 
○ Ajuste os dados de vendas para remover os efeitos da sazonalidade. 
○ Crie uma nova coluna chamada "Vendas Ajustadas" e preencha com os valores ajustados. 
○ Pergunta: Qual é o valor ajustado para as vendas em Junho de 2020? 
5. Avaliação da Qualidade das Previsões 
○ Utilize a técnica da média móvel centrada para prever as vendas dos próximos 3 meses (Janeiro a Março de 2022). 
○ Calcule o erro absoluto médio (MAE) das previsões. 
○ Crie uma nova seção para as previsões e medidas de erro. 
○ Pergunta: Quais são as previsões de vendas para Janeiro, Fevereiro e Março de 2022?
○ Pergunta: Qual é o erro absoluto médio (MAE) das previsões realizadas?</t>
  </si>
  <si>
    <t>Data</t>
  </si>
  <si>
    <t>Vendas</t>
  </si>
  <si>
    <t>Média Móvel Centrada (3 meses)</t>
  </si>
  <si>
    <t xml:space="preserve">Indice Sazonal </t>
  </si>
  <si>
    <t>Vendas Ajustadas</t>
  </si>
  <si>
    <t>Média Centrada Jan-Fev 2020</t>
  </si>
  <si>
    <t>Previsão Trimestral</t>
  </si>
  <si>
    <t>Erro absoluto</t>
  </si>
  <si>
    <t>MAE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</si>
</sst>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4" numFmtId="0" xfId="0" applyFill="1" applyFont="1"/>
    <xf borderId="0" fillId="0" fontId="3" numFmtId="0" xfId="0" applyFont="1"/>
    <xf borderId="0" fillId="3" fontId="3" numFmtId="0" xfId="0" applyFill="1" applyFont="1"/>
    <xf borderId="0" fillId="4" fontId="3" numFmtId="0" xfId="0" applyFill="1" applyFont="1"/>
    <xf borderId="0" fillId="5" fontId="4" numFmtId="0" xfId="0" applyFill="1" applyFont="1"/>
    <xf borderId="0" fillId="0" fontId="3" numFmtId="165" xfId="0" applyAlignment="1" applyFont="1" applyNumberFormat="1">
      <alignment readingOrder="0"/>
    </xf>
    <xf borderId="0" fillId="6" fontId="3" numFmtId="0" xfId="0" applyFill="1" applyFont="1"/>
    <xf borderId="0" fillId="7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7.0"/>
  </cols>
  <sheetData>
    <row r="1">
      <c r="A1" s="1" t="s">
        <v>0</v>
      </c>
    </row>
    <row r="3">
      <c r="A3" s="2" t="s">
        <v>1</v>
      </c>
    </row>
    <row r="4" ht="37.5" customHeight="1"/>
    <row r="6">
      <c r="A6" s="3" t="s">
        <v>2</v>
      </c>
    </row>
  </sheetData>
  <mergeCells count="2">
    <mergeCell ref="A1:A2"/>
    <mergeCell ref="A3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17.88"/>
    <col customWidth="1" min="5" max="5" width="14.38"/>
    <col customWidth="1" min="6" max="6" width="23.5"/>
    <col customWidth="1" min="7" max="7" width="15.2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>
      <c r="A2" s="4">
        <v>43466.0</v>
      </c>
      <c r="B2" s="3">
        <v>200.0</v>
      </c>
      <c r="C2" s="5"/>
      <c r="D2" s="6">
        <f t="shared" ref="D2:D35" si="1">B3/C3</f>
        <v>0.9</v>
      </c>
      <c r="E2" s="6">
        <f t="shared" ref="E2:E35" si="2">B2/D2</f>
        <v>222.2222222</v>
      </c>
      <c r="F2" s="7">
        <f>MEDIAN(B14:B16)</f>
        <v>210</v>
      </c>
      <c r="I2" s="8">
        <f>MEDIAN(H3:H35)</f>
        <v>12.74725275</v>
      </c>
    </row>
    <row r="3">
      <c r="A3" s="4">
        <v>43497.0</v>
      </c>
      <c r="B3" s="3">
        <v>180.0</v>
      </c>
      <c r="C3" s="5">
        <f t="shared" ref="C3:C36" si="3">AVERAGE(B2:B4)</f>
        <v>200</v>
      </c>
      <c r="D3" s="6">
        <f t="shared" si="1"/>
        <v>1.03125</v>
      </c>
      <c r="E3" s="6">
        <f t="shared" si="2"/>
        <v>174.5454545</v>
      </c>
      <c r="G3" s="6">
        <f t="shared" ref="G3:G35" si="4">C3*D3</f>
        <v>206.25</v>
      </c>
      <c r="H3" s="6">
        <f t="shared" ref="H3:H35" si="5">ABS(B3-G3)</f>
        <v>26.25</v>
      </c>
    </row>
    <row r="4">
      <c r="A4" s="4">
        <v>43525.0</v>
      </c>
      <c r="B4" s="3">
        <v>220.0</v>
      </c>
      <c r="C4" s="5">
        <f t="shared" si="3"/>
        <v>213.3333333</v>
      </c>
      <c r="D4" s="6">
        <f t="shared" si="1"/>
        <v>1</v>
      </c>
      <c r="E4" s="6">
        <f t="shared" si="2"/>
        <v>220</v>
      </c>
      <c r="G4" s="6">
        <f t="shared" si="4"/>
        <v>213.3333333</v>
      </c>
      <c r="H4" s="6">
        <f t="shared" si="5"/>
        <v>6.666666667</v>
      </c>
    </row>
    <row r="5">
      <c r="A5" s="4">
        <v>43556.0</v>
      </c>
      <c r="B5" s="3">
        <v>240.0</v>
      </c>
      <c r="C5" s="9">
        <f t="shared" si="3"/>
        <v>240</v>
      </c>
      <c r="D5" s="6">
        <f t="shared" si="1"/>
        <v>0.975</v>
      </c>
      <c r="E5" s="6">
        <f t="shared" si="2"/>
        <v>246.1538462</v>
      </c>
      <c r="G5" s="6">
        <f t="shared" si="4"/>
        <v>234</v>
      </c>
      <c r="H5" s="6">
        <f t="shared" si="5"/>
        <v>6</v>
      </c>
    </row>
    <row r="6">
      <c r="A6" s="4">
        <v>43586.0</v>
      </c>
      <c r="B6" s="3">
        <v>260.0</v>
      </c>
      <c r="C6" s="5">
        <f t="shared" si="3"/>
        <v>266.6666667</v>
      </c>
      <c r="D6" s="6">
        <f t="shared" si="1"/>
        <v>1.022727273</v>
      </c>
      <c r="E6" s="6">
        <f t="shared" si="2"/>
        <v>254.2222222</v>
      </c>
      <c r="G6" s="6">
        <f t="shared" si="4"/>
        <v>272.7272727</v>
      </c>
      <c r="H6" s="6">
        <f t="shared" si="5"/>
        <v>12.72727273</v>
      </c>
    </row>
    <row r="7">
      <c r="A7" s="4">
        <v>43617.0</v>
      </c>
      <c r="B7" s="3">
        <v>300.0</v>
      </c>
      <c r="C7" s="5">
        <f t="shared" si="3"/>
        <v>293.3333333</v>
      </c>
      <c r="D7" s="6">
        <f t="shared" si="1"/>
        <v>1.032258065</v>
      </c>
      <c r="E7" s="6">
        <f t="shared" si="2"/>
        <v>290.625</v>
      </c>
      <c r="G7" s="6">
        <f t="shared" si="4"/>
        <v>302.7956989</v>
      </c>
      <c r="H7" s="6">
        <f t="shared" si="5"/>
        <v>2.795698925</v>
      </c>
    </row>
    <row r="8">
      <c r="A8" s="4">
        <v>43647.0</v>
      </c>
      <c r="B8" s="3">
        <v>320.0</v>
      </c>
      <c r="C8" s="5">
        <f t="shared" si="3"/>
        <v>310</v>
      </c>
      <c r="D8" s="6">
        <f t="shared" si="1"/>
        <v>1.021978022</v>
      </c>
      <c r="E8" s="6">
        <f t="shared" si="2"/>
        <v>313.1182796</v>
      </c>
      <c r="G8" s="6">
        <f t="shared" si="4"/>
        <v>316.8131868</v>
      </c>
      <c r="H8" s="6">
        <f t="shared" si="5"/>
        <v>3.186813187</v>
      </c>
    </row>
    <row r="9">
      <c r="A9" s="4">
        <v>43678.0</v>
      </c>
      <c r="B9" s="3">
        <v>310.0</v>
      </c>
      <c r="C9" s="5">
        <f t="shared" si="3"/>
        <v>303.3333333</v>
      </c>
      <c r="D9" s="6">
        <f t="shared" si="1"/>
        <v>0.9545454545</v>
      </c>
      <c r="E9" s="6">
        <f t="shared" si="2"/>
        <v>324.7619048</v>
      </c>
      <c r="G9" s="6">
        <f t="shared" si="4"/>
        <v>289.5454545</v>
      </c>
      <c r="H9" s="6">
        <f t="shared" si="5"/>
        <v>20.45454545</v>
      </c>
    </row>
    <row r="10">
      <c r="A10" s="4">
        <v>43709.0</v>
      </c>
      <c r="B10" s="3">
        <v>280.0</v>
      </c>
      <c r="C10" s="5">
        <f t="shared" si="3"/>
        <v>293.3333333</v>
      </c>
      <c r="D10" s="6">
        <f t="shared" si="1"/>
        <v>0.9456521739</v>
      </c>
      <c r="E10" s="6">
        <f t="shared" si="2"/>
        <v>296.091954</v>
      </c>
      <c r="G10" s="6">
        <f t="shared" si="4"/>
        <v>277.3913043</v>
      </c>
      <c r="H10" s="6">
        <f t="shared" si="5"/>
        <v>2.608695652</v>
      </c>
    </row>
    <row r="11">
      <c r="A11" s="10">
        <v>43739.0</v>
      </c>
      <c r="B11" s="3">
        <v>290.0</v>
      </c>
      <c r="C11" s="5">
        <f t="shared" si="3"/>
        <v>306.6666667</v>
      </c>
      <c r="D11" s="6">
        <f t="shared" si="1"/>
        <v>1.009615385</v>
      </c>
      <c r="E11" s="6">
        <f t="shared" si="2"/>
        <v>287.2380952</v>
      </c>
      <c r="G11" s="6">
        <f t="shared" si="4"/>
        <v>309.6153846</v>
      </c>
      <c r="H11" s="6">
        <f t="shared" si="5"/>
        <v>19.61538462</v>
      </c>
    </row>
    <row r="12">
      <c r="A12" s="10">
        <v>43770.0</v>
      </c>
      <c r="B12" s="3">
        <v>350.0</v>
      </c>
      <c r="C12" s="5">
        <f t="shared" si="3"/>
        <v>346.6666667</v>
      </c>
      <c r="D12" s="6">
        <f t="shared" si="1"/>
        <v>1.25</v>
      </c>
      <c r="E12" s="6">
        <f t="shared" si="2"/>
        <v>280</v>
      </c>
      <c r="G12" s="6">
        <f t="shared" si="4"/>
        <v>433.3333333</v>
      </c>
      <c r="H12" s="6">
        <f t="shared" si="5"/>
        <v>83.33333333</v>
      </c>
    </row>
    <row r="13">
      <c r="A13" s="10">
        <v>43800.0</v>
      </c>
      <c r="B13" s="3">
        <v>400.0</v>
      </c>
      <c r="C13" s="5">
        <f t="shared" si="3"/>
        <v>320</v>
      </c>
      <c r="D13" s="11">
        <f t="shared" si="1"/>
        <v>0.7875</v>
      </c>
      <c r="E13" s="6">
        <f t="shared" si="2"/>
        <v>507.9365079</v>
      </c>
      <c r="G13" s="6">
        <f t="shared" si="4"/>
        <v>252</v>
      </c>
      <c r="H13" s="6">
        <f t="shared" si="5"/>
        <v>148</v>
      </c>
    </row>
    <row r="14">
      <c r="A14" s="4">
        <v>43831.0</v>
      </c>
      <c r="B14" s="3">
        <v>210.0</v>
      </c>
      <c r="C14" s="5">
        <f t="shared" si="3"/>
        <v>266.6666667</v>
      </c>
      <c r="D14" s="6">
        <f t="shared" si="1"/>
        <v>0.9047619048</v>
      </c>
      <c r="E14" s="6">
        <f t="shared" si="2"/>
        <v>232.1052632</v>
      </c>
      <c r="G14" s="6">
        <f t="shared" si="4"/>
        <v>241.2698413</v>
      </c>
      <c r="H14" s="6">
        <f t="shared" si="5"/>
        <v>31.26984127</v>
      </c>
    </row>
    <row r="15">
      <c r="A15" s="4">
        <v>43862.0</v>
      </c>
      <c r="B15" s="3">
        <v>190.0</v>
      </c>
      <c r="C15" s="5">
        <f t="shared" si="3"/>
        <v>210</v>
      </c>
      <c r="D15" s="6">
        <f t="shared" si="1"/>
        <v>1.029850746</v>
      </c>
      <c r="E15" s="6">
        <f t="shared" si="2"/>
        <v>184.4927536</v>
      </c>
      <c r="G15" s="6">
        <f t="shared" si="4"/>
        <v>216.2686567</v>
      </c>
      <c r="H15" s="6">
        <f t="shared" si="5"/>
        <v>26.26865672</v>
      </c>
    </row>
    <row r="16">
      <c r="A16" s="4">
        <v>43891.0</v>
      </c>
      <c r="B16" s="3">
        <v>230.0</v>
      </c>
      <c r="C16" s="5">
        <f t="shared" si="3"/>
        <v>223.3333333</v>
      </c>
      <c r="D16" s="6">
        <f t="shared" si="1"/>
        <v>1</v>
      </c>
      <c r="E16" s="6">
        <f t="shared" si="2"/>
        <v>230</v>
      </c>
      <c r="G16" s="6">
        <f t="shared" si="4"/>
        <v>223.3333333</v>
      </c>
      <c r="H16" s="6">
        <f t="shared" si="5"/>
        <v>6.666666667</v>
      </c>
    </row>
    <row r="17">
      <c r="A17" s="4">
        <v>43922.0</v>
      </c>
      <c r="B17" s="3">
        <v>250.0</v>
      </c>
      <c r="C17" s="5">
        <f t="shared" si="3"/>
        <v>250</v>
      </c>
      <c r="D17" s="6">
        <f t="shared" si="1"/>
        <v>0.9759036145</v>
      </c>
      <c r="E17" s="6">
        <f t="shared" si="2"/>
        <v>256.1728395</v>
      </c>
      <c r="G17" s="6">
        <f t="shared" si="4"/>
        <v>243.9759036</v>
      </c>
      <c r="H17" s="6">
        <f t="shared" si="5"/>
        <v>6.024096386</v>
      </c>
    </row>
    <row r="18">
      <c r="A18" s="4">
        <v>43952.0</v>
      </c>
      <c r="B18" s="3">
        <v>270.0</v>
      </c>
      <c r="C18" s="5">
        <f t="shared" si="3"/>
        <v>276.6666667</v>
      </c>
      <c r="D18" s="6">
        <f t="shared" si="1"/>
        <v>1.021978022</v>
      </c>
      <c r="E18" s="6">
        <f t="shared" si="2"/>
        <v>264.1935484</v>
      </c>
      <c r="G18" s="6">
        <f t="shared" si="4"/>
        <v>282.7472527</v>
      </c>
      <c r="H18" s="6">
        <f t="shared" si="5"/>
        <v>12.74725275</v>
      </c>
    </row>
    <row r="19">
      <c r="A19" s="4">
        <v>43983.0</v>
      </c>
      <c r="B19" s="3">
        <v>310.0</v>
      </c>
      <c r="C19" s="5">
        <f t="shared" si="3"/>
        <v>303.3333333</v>
      </c>
      <c r="D19" s="6">
        <f t="shared" si="1"/>
        <v>1.03125</v>
      </c>
      <c r="E19" s="12">
        <f t="shared" si="2"/>
        <v>300.6060606</v>
      </c>
      <c r="G19" s="6">
        <f t="shared" si="4"/>
        <v>312.8125</v>
      </c>
      <c r="H19" s="6">
        <f t="shared" si="5"/>
        <v>2.8125</v>
      </c>
    </row>
    <row r="20">
      <c r="A20" s="4">
        <v>44013.0</v>
      </c>
      <c r="B20" s="3">
        <v>330.0</v>
      </c>
      <c r="C20" s="5">
        <f t="shared" si="3"/>
        <v>320</v>
      </c>
      <c r="D20" s="6">
        <f t="shared" si="1"/>
        <v>1.021276596</v>
      </c>
      <c r="E20" s="6">
        <f t="shared" si="2"/>
        <v>323.125</v>
      </c>
      <c r="G20" s="6">
        <f t="shared" si="4"/>
        <v>326.8085106</v>
      </c>
      <c r="H20" s="6">
        <f t="shared" si="5"/>
        <v>3.191489362</v>
      </c>
    </row>
    <row r="21">
      <c r="A21" s="4">
        <v>44044.0</v>
      </c>
      <c r="B21" s="3">
        <v>320.0</v>
      </c>
      <c r="C21" s="5">
        <f t="shared" si="3"/>
        <v>313.3333333</v>
      </c>
      <c r="D21" s="6">
        <f t="shared" si="1"/>
        <v>0.956043956</v>
      </c>
      <c r="E21" s="6">
        <f t="shared" si="2"/>
        <v>334.7126437</v>
      </c>
      <c r="G21" s="6">
        <f t="shared" si="4"/>
        <v>299.5604396</v>
      </c>
      <c r="H21" s="6">
        <f t="shared" si="5"/>
        <v>20.43956044</v>
      </c>
    </row>
    <row r="22">
      <c r="A22" s="4">
        <v>44075.0</v>
      </c>
      <c r="B22" s="3">
        <v>290.0</v>
      </c>
      <c r="C22" s="5">
        <f t="shared" si="3"/>
        <v>303.3333333</v>
      </c>
      <c r="D22" s="6">
        <f t="shared" si="1"/>
        <v>0.9473684211</v>
      </c>
      <c r="E22" s="6">
        <f t="shared" si="2"/>
        <v>306.1111111</v>
      </c>
      <c r="G22" s="6">
        <f t="shared" si="4"/>
        <v>287.3684211</v>
      </c>
      <c r="H22" s="6">
        <f t="shared" si="5"/>
        <v>2.631578947</v>
      </c>
    </row>
    <row r="23">
      <c r="A23" s="10">
        <v>44105.0</v>
      </c>
      <c r="B23" s="3">
        <v>300.0</v>
      </c>
      <c r="C23" s="5">
        <f t="shared" si="3"/>
        <v>316.6666667</v>
      </c>
      <c r="D23" s="6">
        <f t="shared" si="1"/>
        <v>1.009345794</v>
      </c>
      <c r="E23" s="6">
        <f t="shared" si="2"/>
        <v>297.2222222</v>
      </c>
      <c r="G23" s="6">
        <f t="shared" si="4"/>
        <v>319.6261682</v>
      </c>
      <c r="H23" s="6">
        <f t="shared" si="5"/>
        <v>19.62616822</v>
      </c>
    </row>
    <row r="24">
      <c r="A24" s="10">
        <v>44136.0</v>
      </c>
      <c r="B24" s="3">
        <v>360.0</v>
      </c>
      <c r="C24" s="5">
        <f t="shared" si="3"/>
        <v>356.6666667</v>
      </c>
      <c r="D24" s="6">
        <f t="shared" si="1"/>
        <v>1.242424242</v>
      </c>
      <c r="E24" s="6">
        <f t="shared" si="2"/>
        <v>289.7560976</v>
      </c>
      <c r="G24" s="6">
        <f t="shared" si="4"/>
        <v>443.1313131</v>
      </c>
      <c r="H24" s="6">
        <f t="shared" si="5"/>
        <v>83.13131313</v>
      </c>
    </row>
    <row r="25">
      <c r="A25" s="10">
        <v>44166.0</v>
      </c>
      <c r="B25" s="3">
        <v>410.0</v>
      </c>
      <c r="C25" s="5">
        <f t="shared" si="3"/>
        <v>330</v>
      </c>
      <c r="D25" s="11">
        <f t="shared" si="1"/>
        <v>0.7951807229</v>
      </c>
      <c r="E25" s="6">
        <f t="shared" si="2"/>
        <v>515.6060606</v>
      </c>
      <c r="G25" s="6">
        <f t="shared" si="4"/>
        <v>262.4096386</v>
      </c>
      <c r="H25" s="6">
        <f t="shared" si="5"/>
        <v>147.5903614</v>
      </c>
    </row>
    <row r="26">
      <c r="A26" s="4">
        <v>44197.0</v>
      </c>
      <c r="B26" s="3">
        <v>220.0</v>
      </c>
      <c r="C26" s="5">
        <f t="shared" si="3"/>
        <v>276.6666667</v>
      </c>
      <c r="D26" s="6">
        <f t="shared" si="1"/>
        <v>0.9090909091</v>
      </c>
      <c r="E26" s="6">
        <f t="shared" si="2"/>
        <v>242</v>
      </c>
      <c r="G26" s="6">
        <f t="shared" si="4"/>
        <v>251.5151515</v>
      </c>
      <c r="H26" s="6">
        <f t="shared" si="5"/>
        <v>31.51515152</v>
      </c>
    </row>
    <row r="27">
      <c r="A27" s="4">
        <v>44228.0</v>
      </c>
      <c r="B27" s="3">
        <v>200.0</v>
      </c>
      <c r="C27" s="5">
        <f t="shared" si="3"/>
        <v>220</v>
      </c>
      <c r="D27" s="6">
        <f t="shared" si="1"/>
        <v>1.028571429</v>
      </c>
      <c r="E27" s="6">
        <f t="shared" si="2"/>
        <v>194.4444444</v>
      </c>
      <c r="G27" s="6">
        <f t="shared" si="4"/>
        <v>226.2857143</v>
      </c>
      <c r="H27" s="6">
        <f t="shared" si="5"/>
        <v>26.28571429</v>
      </c>
    </row>
    <row r="28">
      <c r="A28" s="4">
        <v>44256.0</v>
      </c>
      <c r="B28" s="3">
        <v>240.0</v>
      </c>
      <c r="C28" s="5">
        <f t="shared" si="3"/>
        <v>233.3333333</v>
      </c>
      <c r="D28" s="6">
        <f t="shared" si="1"/>
        <v>1</v>
      </c>
      <c r="E28" s="6">
        <f t="shared" si="2"/>
        <v>240</v>
      </c>
      <c r="G28" s="6">
        <f t="shared" si="4"/>
        <v>233.3333333</v>
      </c>
      <c r="H28" s="6">
        <f t="shared" si="5"/>
        <v>6.666666667</v>
      </c>
    </row>
    <row r="29">
      <c r="A29" s="4">
        <v>44287.0</v>
      </c>
      <c r="B29" s="3">
        <v>260.0</v>
      </c>
      <c r="C29" s="5">
        <f t="shared" si="3"/>
        <v>260</v>
      </c>
      <c r="D29" s="6">
        <f t="shared" si="1"/>
        <v>0.976744186</v>
      </c>
      <c r="E29" s="6">
        <f t="shared" si="2"/>
        <v>266.1904762</v>
      </c>
      <c r="G29" s="6">
        <f t="shared" si="4"/>
        <v>253.9534884</v>
      </c>
      <c r="H29" s="6">
        <f t="shared" si="5"/>
        <v>6.046511628</v>
      </c>
    </row>
    <row r="30">
      <c r="A30" s="4">
        <v>44317.0</v>
      </c>
      <c r="B30" s="3">
        <v>280.0</v>
      </c>
      <c r="C30" s="5">
        <f t="shared" si="3"/>
        <v>286.6666667</v>
      </c>
      <c r="D30" s="6">
        <f t="shared" si="1"/>
        <v>1.021276596</v>
      </c>
      <c r="E30" s="6">
        <f t="shared" si="2"/>
        <v>274.1666667</v>
      </c>
      <c r="G30" s="6">
        <f t="shared" si="4"/>
        <v>292.7659574</v>
      </c>
      <c r="H30" s="6">
        <f t="shared" si="5"/>
        <v>12.76595745</v>
      </c>
    </row>
    <row r="31">
      <c r="A31" s="4">
        <v>44348.0</v>
      </c>
      <c r="B31" s="3">
        <v>320.0</v>
      </c>
      <c r="C31" s="5">
        <f t="shared" si="3"/>
        <v>313.3333333</v>
      </c>
      <c r="D31" s="6">
        <f t="shared" si="1"/>
        <v>1.03030303</v>
      </c>
      <c r="E31" s="6">
        <f t="shared" si="2"/>
        <v>310.5882353</v>
      </c>
      <c r="G31" s="6">
        <f t="shared" si="4"/>
        <v>322.8282828</v>
      </c>
      <c r="H31" s="6">
        <f t="shared" si="5"/>
        <v>2.828282828</v>
      </c>
    </row>
    <row r="32">
      <c r="A32" s="4">
        <v>44378.0</v>
      </c>
      <c r="B32" s="3">
        <v>340.0</v>
      </c>
      <c r="C32" s="5">
        <f t="shared" si="3"/>
        <v>330</v>
      </c>
      <c r="D32" s="6">
        <f t="shared" si="1"/>
        <v>1.020618557</v>
      </c>
      <c r="E32" s="6">
        <f t="shared" si="2"/>
        <v>333.1313131</v>
      </c>
      <c r="G32" s="6">
        <f t="shared" si="4"/>
        <v>336.8041237</v>
      </c>
      <c r="H32" s="6">
        <f t="shared" si="5"/>
        <v>3.195876289</v>
      </c>
    </row>
    <row r="33">
      <c r="A33" s="4">
        <v>44409.0</v>
      </c>
      <c r="B33" s="3">
        <v>330.0</v>
      </c>
      <c r="C33" s="5">
        <f t="shared" si="3"/>
        <v>323.3333333</v>
      </c>
      <c r="D33" s="6">
        <f t="shared" si="1"/>
        <v>0.9574468085</v>
      </c>
      <c r="E33" s="6">
        <f t="shared" si="2"/>
        <v>344.6666667</v>
      </c>
      <c r="G33" s="6">
        <f t="shared" si="4"/>
        <v>309.5744681</v>
      </c>
      <c r="H33" s="6">
        <f t="shared" si="5"/>
        <v>20.42553191</v>
      </c>
    </row>
    <row r="34">
      <c r="A34" s="4">
        <v>44440.0</v>
      </c>
      <c r="B34" s="3">
        <v>300.0</v>
      </c>
      <c r="C34" s="5">
        <f t="shared" si="3"/>
        <v>313.3333333</v>
      </c>
      <c r="D34" s="6">
        <f t="shared" si="1"/>
        <v>0.9489795918</v>
      </c>
      <c r="E34" s="6">
        <f t="shared" si="2"/>
        <v>316.1290323</v>
      </c>
      <c r="G34" s="6">
        <f t="shared" si="4"/>
        <v>297.3469388</v>
      </c>
      <c r="H34" s="6">
        <f t="shared" si="5"/>
        <v>2.653061224</v>
      </c>
    </row>
    <row r="35">
      <c r="A35" s="10">
        <v>44470.0</v>
      </c>
      <c r="B35" s="3">
        <v>310.0</v>
      </c>
      <c r="C35" s="5">
        <f t="shared" si="3"/>
        <v>326.6666667</v>
      </c>
      <c r="D35" s="6">
        <f t="shared" si="1"/>
        <v>1.009090909</v>
      </c>
      <c r="E35" s="6">
        <f t="shared" si="2"/>
        <v>307.2072072</v>
      </c>
      <c r="G35" s="6">
        <f t="shared" si="4"/>
        <v>329.6363636</v>
      </c>
      <c r="H35" s="6">
        <f t="shared" si="5"/>
        <v>19.63636364</v>
      </c>
    </row>
    <row r="36">
      <c r="A36" s="10">
        <v>44501.0</v>
      </c>
      <c r="B36" s="3">
        <v>370.0</v>
      </c>
      <c r="C36" s="5">
        <f t="shared" si="3"/>
        <v>366.6666667</v>
      </c>
    </row>
    <row r="37">
      <c r="A37" s="10">
        <v>44531.0</v>
      </c>
      <c r="B37" s="3">
        <v>420.0</v>
      </c>
      <c r="C37" s="5"/>
    </row>
  </sheetData>
  <drawing r:id="rId2"/>
  <legacyDrawing r:id="rId3"/>
</worksheet>
</file>